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4" rupBuild="18827"/>
  <workbookPr filterPrivacy="1" defaultThemeVersion="124226"/>
  <bookViews>
    <workbookView xWindow="240" yWindow="210" windowWidth="10815" windowHeight="5175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F1" i="1" l="1"/>
  <c r="D32" i="1" l="1"/>
  <c r="G1" i="1" l="1"/>
  <c r="E1" i="1"/>
  <c r="M2" i="1" l="1"/>
  <c r="L2" i="1" l="1"/>
  <c r="J2" i="1" s="1"/>
</calcChain>
</file>

<file path=xl/sharedStrings.xml><?xml version="1.0" encoding="utf-8"?>
<sst xmlns="http://schemas.openxmlformats.org/spreadsheetml/2006/main" count="76" uniqueCount="75">
  <si>
    <t>タスク</t>
    <phoneticPr fontId="5"/>
  </si>
  <si>
    <t>工数</t>
    <rPh sb="0" eb="2">
      <t>コウスウ</t>
    </rPh>
    <phoneticPr fontId="5"/>
  </si>
  <si>
    <t>WBS</t>
    <phoneticPr fontId="5"/>
  </si>
  <si>
    <t>■テストエース (Test Ace)</t>
    <phoneticPr fontId="5"/>
  </si>
  <si>
    <t>進捗</t>
    <rPh sb="0" eb="2">
      <t>シンチョク</t>
    </rPh>
    <phoneticPr fontId="5"/>
  </si>
  <si>
    <t>予想開始日</t>
    <rPh sb="0" eb="2">
      <t>ヨソウ</t>
    </rPh>
    <rPh sb="2" eb="4">
      <t>カイシ</t>
    </rPh>
    <rPh sb="4" eb="5">
      <t>ヒ</t>
    </rPh>
    <phoneticPr fontId="5"/>
  </si>
  <si>
    <t>予想終了日</t>
    <rPh sb="0" eb="2">
      <t>ヨソウ</t>
    </rPh>
    <rPh sb="2" eb="4">
      <t>シュウリョウ</t>
    </rPh>
    <rPh sb="4" eb="5">
      <t>ヒ</t>
    </rPh>
    <phoneticPr fontId="5"/>
  </si>
  <si>
    <t>実際開始日</t>
    <rPh sb="0" eb="2">
      <t>ジッサイ</t>
    </rPh>
    <rPh sb="2" eb="4">
      <t>カイシ</t>
    </rPh>
    <rPh sb="4" eb="5">
      <t>ヒ</t>
    </rPh>
    <phoneticPr fontId="5"/>
  </si>
  <si>
    <t>実際終了日</t>
    <rPh sb="0" eb="2">
      <t>ジッサイ</t>
    </rPh>
    <rPh sb="2" eb="4">
      <t>シュウリョウ</t>
    </rPh>
    <rPh sb="4" eb="5">
      <t>ヒ</t>
    </rPh>
    <phoneticPr fontId="5"/>
  </si>
  <si>
    <t>Total</t>
    <phoneticPr fontId="5"/>
  </si>
  <si>
    <t>Working</t>
    <phoneticPr fontId="5"/>
  </si>
  <si>
    <t>Off</t>
    <phoneticPr fontId="5"/>
  </si>
  <si>
    <t>Sat&amp;Sun</t>
    <phoneticPr fontId="5"/>
  </si>
  <si>
    <t>dates</t>
    <phoneticPr fontId="5"/>
  </si>
  <si>
    <t>Unit</t>
    <phoneticPr fontId="5"/>
  </si>
  <si>
    <t>Delay</t>
    <phoneticPr fontId="5"/>
  </si>
  <si>
    <t>times</t>
    <phoneticPr fontId="5"/>
  </si>
  <si>
    <t>Load</t>
  </si>
  <si>
    <t>File to File</t>
  </si>
  <si>
    <t>DB connection info</t>
  </si>
  <si>
    <t>File connection info</t>
  </si>
  <si>
    <t>Unchanged</t>
  </si>
  <si>
    <t>Use-defind function</t>
  </si>
  <si>
    <t>Foreign key</t>
  </si>
  <si>
    <t>Dependent column</t>
  </si>
  <si>
    <t>Fixed value</t>
  </si>
  <si>
    <t>Conversions type</t>
    <phoneticPr fontId="5"/>
  </si>
  <si>
    <t>Gizidata info</t>
    <phoneticPr fontId="5"/>
  </si>
  <si>
    <t>User defined function info</t>
    <phoneticPr fontId="5"/>
  </si>
  <si>
    <t xml:space="preserve">Test Ace Installation </t>
    <phoneticPr fontId="5"/>
  </si>
  <si>
    <t xml:space="preserve">Test Ace Operation </t>
    <phoneticPr fontId="5"/>
  </si>
  <si>
    <t>Data flow</t>
    <phoneticPr fontId="5"/>
  </si>
  <si>
    <t>Setting</t>
    <phoneticPr fontId="5"/>
  </si>
  <si>
    <t>Reparing report document</t>
    <phoneticPr fontId="5"/>
  </si>
  <si>
    <t>Reporting</t>
    <phoneticPr fontId="5"/>
  </si>
  <si>
    <t>Test Ace Report</t>
    <phoneticPr fontId="5"/>
  </si>
  <si>
    <t>Mask</t>
    <phoneticPr fontId="5"/>
  </si>
  <si>
    <t>5.1</t>
    <phoneticPr fontId="5"/>
  </si>
  <si>
    <t>5.2</t>
    <phoneticPr fontId="5"/>
  </si>
  <si>
    <t>5.3</t>
  </si>
  <si>
    <t>5.4</t>
  </si>
  <si>
    <t>5.5</t>
  </si>
  <si>
    <t>5.6</t>
  </si>
  <si>
    <t>5.7</t>
  </si>
  <si>
    <t>5.8</t>
  </si>
  <si>
    <t>5.9</t>
  </si>
  <si>
    <t>5.10</t>
  </si>
  <si>
    <t>5.11</t>
  </si>
  <si>
    <t>4.1</t>
    <phoneticPr fontId="5"/>
  </si>
  <si>
    <t>4.2</t>
    <phoneticPr fontId="5"/>
  </si>
  <si>
    <t>4.3</t>
  </si>
  <si>
    <t>4.4</t>
  </si>
  <si>
    <t>4.5</t>
  </si>
  <si>
    <t>4.6</t>
  </si>
  <si>
    <t>1</t>
    <phoneticPr fontId="5"/>
  </si>
  <si>
    <t>2</t>
    <phoneticPr fontId="5"/>
  </si>
  <si>
    <t>3</t>
    <phoneticPr fontId="5"/>
  </si>
  <si>
    <t>3.1</t>
    <phoneticPr fontId="5"/>
  </si>
  <si>
    <t>3.2</t>
    <phoneticPr fontId="5"/>
  </si>
  <si>
    <t>4</t>
    <phoneticPr fontId="5"/>
  </si>
  <si>
    <t>5</t>
    <phoneticPr fontId="5"/>
  </si>
  <si>
    <t>6</t>
    <phoneticPr fontId="5"/>
  </si>
  <si>
    <t>7</t>
    <phoneticPr fontId="5"/>
  </si>
  <si>
    <t>8</t>
    <phoneticPr fontId="5"/>
  </si>
  <si>
    <t>8.1</t>
    <phoneticPr fontId="5"/>
  </si>
  <si>
    <t>8.2</t>
    <phoneticPr fontId="5"/>
  </si>
  <si>
    <t>DB to File</t>
    <phoneticPr fontId="5"/>
  </si>
  <si>
    <t>DB to DB</t>
    <phoneticPr fontId="5"/>
  </si>
  <si>
    <t>Random [DB to File, DB to DB]</t>
    <phoneticPr fontId="5"/>
  </si>
  <si>
    <t>Generate to File</t>
    <phoneticPr fontId="5"/>
  </si>
  <si>
    <t>Generate to DB</t>
    <phoneticPr fontId="5"/>
  </si>
  <si>
    <t>Random [Generate to File, Generate to DB]</t>
    <phoneticPr fontId="5"/>
  </si>
  <si>
    <t>Gizidata [DB to File, DB to DB]</t>
    <phoneticPr fontId="5"/>
  </si>
  <si>
    <t>Gizidata [Generate to File, Generate to DB]</t>
    <phoneticPr fontId="5"/>
  </si>
  <si>
    <t>Sequence number</t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</si>
</sst>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_);[Red]\(0\)"/>
    <numFmt numFmtId="177" formatCode=";;;"/>
  </numFmts>
  <fonts count="13" x14ac:knownFonts="1"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3"/>
      <charset val="128"/>
      <scheme val="minor"/>
    </font>
    <font>
      <sz val="11"/>
      <color theme="0"/>
      <name val="ＭＳ Ｐゴシック"/>
      <family val="2"/>
      <scheme val="minor"/>
    </font>
    <font>
      <sz val="11"/>
      <color theme="0"/>
      <name val="ＭＳ Ｐゴシック"/>
      <family val="3"/>
      <charset val="128"/>
      <scheme val="minor"/>
    </font>
    <font>
      <u/>
      <sz val="11"/>
      <color theme="10"/>
      <name val="ＭＳ Ｐゴシック"/>
      <family val="2"/>
      <scheme val="minor"/>
    </font>
    <font>
      <b/>
      <sz val="11"/>
      <color theme="1"/>
      <name val="ＭＳ Ｐゴシック"/>
      <family val="3"/>
      <charset val="128"/>
      <scheme val="minor"/>
    </font>
    <font>
      <b/>
      <sz val="11"/>
      <color rgb="FF00B0F0"/>
      <name val="ＭＳ Ｐゴシック"/>
      <family val="3"/>
      <charset val="128"/>
      <scheme val="minor"/>
    </font>
    <font>
      <b/>
      <sz val="11"/>
      <color theme="0"/>
      <name val="ＭＳ Ｐゴシック"/>
      <family val="3"/>
      <charset val="128"/>
      <scheme val="minor"/>
    </font>
    <font>
      <sz val="11"/>
      <color rgb="FFFF0000"/>
      <name val="ＭＳ Ｐゴシック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9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3">
    <xf numFmtId="0" fontId="0" fillId="0" borderId="0"/>
    <xf numFmtId="0" fontId="4" fillId="0" borderId="0"/>
    <xf numFmtId="0" fontId="8" fillId="0" borderId="0" applyNumberFormat="0" applyFill="0" applyBorder="0" applyAlignment="0" applyProtection="0"/>
  </cellStyleXfs>
  <cellXfs count="42">
    <xf numFmtId="0" fontId="0" fillId="0" borderId="0" xfId="0"/>
    <xf numFmtId="0" fontId="0" fillId="2" borderId="0" xfId="0" applyFill="1"/>
    <xf numFmtId="0" fontId="0" fillId="2" borderId="1" xfId="0" applyFill="1" applyBorder="1"/>
    <xf numFmtId="0" fontId="6" fillId="3" borderId="1" xfId="0" applyFont="1" applyFill="1" applyBorder="1"/>
    <xf numFmtId="0" fontId="7" fillId="3" borderId="1" xfId="0" applyFont="1" applyFill="1" applyBorder="1"/>
    <xf numFmtId="14" fontId="0" fillId="2" borderId="1" xfId="0" applyNumberFormat="1" applyFill="1" applyBorder="1"/>
    <xf numFmtId="14" fontId="0" fillId="4" borderId="1" xfId="0" applyNumberFormat="1" applyFill="1" applyBorder="1"/>
    <xf numFmtId="9" fontId="3" fillId="2" borderId="1" xfId="1" applyNumberFormat="1" applyFont="1" applyFill="1" applyBorder="1"/>
    <xf numFmtId="0" fontId="1" fillId="6" borderId="1" xfId="1" applyFont="1" applyFill="1" applyBorder="1"/>
    <xf numFmtId="0" fontId="8" fillId="0" borderId="0" xfId="2" applyAlignment="1">
      <alignment vertical="center"/>
    </xf>
    <xf numFmtId="0" fontId="11" fillId="8" borderId="2" xfId="0" applyFont="1" applyFill="1" applyBorder="1" applyAlignment="1">
      <alignment horizontal="center"/>
    </xf>
    <xf numFmtId="0" fontId="0" fillId="7" borderId="2" xfId="0" applyFill="1" applyBorder="1"/>
    <xf numFmtId="0" fontId="0" fillId="0" borderId="0" xfId="0" applyFill="1"/>
    <xf numFmtId="176" fontId="11" fillId="8" borderId="3" xfId="0" applyNumberFormat="1" applyFont="1" applyFill="1" applyBorder="1" applyAlignment="1">
      <alignment horizontal="center"/>
    </xf>
    <xf numFmtId="0" fontId="0" fillId="0" borderId="0" xfId="0" applyFill="1" applyBorder="1"/>
    <xf numFmtId="0" fontId="11" fillId="8" borderId="4" xfId="0" applyFont="1" applyFill="1" applyBorder="1" applyAlignment="1">
      <alignment horizontal="center"/>
    </xf>
    <xf numFmtId="0" fontId="10" fillId="0" borderId="0" xfId="0" applyFont="1" applyFill="1" applyBorder="1" applyAlignment="1">
      <alignment horizontal="right"/>
    </xf>
    <xf numFmtId="0" fontId="0" fillId="2" borderId="0" xfId="0" applyFill="1" applyBorder="1"/>
    <xf numFmtId="177" fontId="0" fillId="2" borderId="0" xfId="0" applyNumberFormat="1" applyFill="1"/>
    <xf numFmtId="0" fontId="9" fillId="7" borderId="2" xfId="0" applyFont="1" applyFill="1" applyBorder="1"/>
    <xf numFmtId="176" fontId="11" fillId="9" borderId="3" xfId="0" applyNumberFormat="1" applyFont="1" applyFill="1" applyBorder="1" applyAlignment="1">
      <alignment horizontal="center"/>
    </xf>
    <xf numFmtId="0" fontId="9" fillId="7" borderId="0" xfId="0" applyFont="1" applyFill="1" applyAlignment="1">
      <alignment horizontal="left"/>
    </xf>
    <xf numFmtId="0" fontId="9" fillId="5" borderId="0" xfId="0" applyFont="1" applyFill="1"/>
    <xf numFmtId="176" fontId="0" fillId="7" borderId="2" xfId="0" applyNumberFormat="1" applyFill="1" applyBorder="1"/>
    <xf numFmtId="9" fontId="3" fillId="0" borderId="1" xfId="1" applyNumberFormat="1" applyFont="1" applyFill="1" applyBorder="1"/>
    <xf numFmtId="0" fontId="0" fillId="0" borderId="1" xfId="0" applyFill="1" applyBorder="1"/>
    <xf numFmtId="0" fontId="1" fillId="0" borderId="1" xfId="1" applyFont="1" applyFill="1" applyBorder="1"/>
    <xf numFmtId="0" fontId="1" fillId="2" borderId="1" xfId="1" applyFont="1" applyFill="1" applyBorder="1" applyAlignment="1">
      <alignment horizontal="left" indent="1"/>
    </xf>
    <xf numFmtId="0" fontId="2" fillId="0" borderId="1" xfId="1" applyFont="1" applyFill="1" applyBorder="1" applyAlignment="1">
      <alignment horizontal="left" indent="1"/>
    </xf>
    <xf numFmtId="0" fontId="1" fillId="0" borderId="1" xfId="1" applyFont="1" applyFill="1" applyBorder="1" applyAlignment="1">
      <alignment horizontal="left" indent="1"/>
    </xf>
    <xf numFmtId="0" fontId="1" fillId="0" borderId="1" xfId="1" applyFont="1" applyFill="1" applyBorder="1" applyAlignment="1">
      <alignment horizontal="left" wrapText="1" indent="1"/>
    </xf>
    <xf numFmtId="0" fontId="1" fillId="0" borderId="1" xfId="1" applyFont="1" applyFill="1" applyBorder="1" applyAlignment="1">
      <alignment horizontal="left" vertical="top" wrapText="1" indent="1"/>
    </xf>
    <xf numFmtId="9" fontId="12" fillId="2" borderId="1" xfId="1" applyNumberFormat="1" applyFont="1" applyFill="1" applyBorder="1"/>
    <xf numFmtId="0" fontId="12" fillId="2" borderId="1" xfId="0" applyFont="1" applyFill="1" applyBorder="1"/>
    <xf numFmtId="0" fontId="1" fillId="6" borderId="1" xfId="1" applyFont="1" applyFill="1" applyBorder="1" applyAlignment="1">
      <alignment horizontal="left" vertical="top" wrapText="1"/>
    </xf>
    <xf numFmtId="0" fontId="1" fillId="0" borderId="1" xfId="1" applyFont="1" applyFill="1" applyBorder="1" applyAlignment="1">
      <alignment horizontal="left" vertical="top" wrapText="1"/>
    </xf>
    <xf numFmtId="0" fontId="0" fillId="0" borderId="1" xfId="0" quotePrefix="1" applyFill="1" applyBorder="1" applyAlignment="1">
      <alignment horizontal="right" vertical="top"/>
    </xf>
    <xf numFmtId="0" fontId="0" fillId="0" borderId="1" xfId="0" quotePrefix="1" applyFill="1" applyBorder="1" applyAlignment="1">
      <alignment horizontal="right"/>
    </xf>
    <xf numFmtId="0" fontId="0" fillId="2" borderId="1" xfId="0" quotePrefix="1" applyFill="1" applyBorder="1" applyAlignment="1">
      <alignment horizontal="right"/>
    </xf>
    <xf numFmtId="0" fontId="0" fillId="6" borderId="1" xfId="0" quotePrefix="1" applyFill="1" applyBorder="1" applyAlignment="1">
      <alignment horizontal="right" vertical="center"/>
    </xf>
    <xf numFmtId="0" fontId="0" fillId="0" borderId="1" xfId="0" quotePrefix="1" applyFill="1" applyBorder="1" applyAlignment="1">
      <alignment horizontal="right" vertical="center"/>
    </xf>
    <xf numFmtId="0" fontId="0" fillId="6" borderId="1" xfId="0" quotePrefix="1" applyFill="1" applyBorder="1" applyAlignment="1">
      <alignment horizontal="right" vertical="top"/>
    </xf>
  </cellXfs>
  <cellStyles count="3">
    <cellStyle name="Hyperlink" xfId="2" builtinId="8"/>
    <cellStyle name="Normal" xfId="0" builtinId="0"/>
    <cellStyle name="標準_Sheet1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2"/>
  <sheetViews>
    <sheetView tabSelected="1" zoomScale="115" zoomScaleNormal="115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F35" sqref="F35"/>
    </sheetView>
  </sheetViews>
  <sheetFormatPr defaultColWidth="8.875" defaultRowHeight="13.5" x14ac:dyDescent="0.15"/>
  <cols>
    <col min="1" max="1" width="12.125" style="1" bestFit="1" customWidth="1"/>
    <col min="2" max="2" width="44.75" style="1" customWidth="1"/>
    <col min="3" max="3" width="5.5" style="1" customWidth="1"/>
    <col min="4" max="4" width="5.5" style="1" bestFit="1" customWidth="1"/>
    <col min="5" max="8" width="11" style="1" bestFit="1" customWidth="1"/>
    <col min="9" max="12" width="8.875" style="1"/>
    <col min="13" max="13" width="9.5" style="1" customWidth="1"/>
    <col min="14" max="16384" width="8.875" style="1"/>
  </cols>
  <sheetData>
    <row r="1" spans="1:17" x14ac:dyDescent="0.15">
      <c r="A1" s="1" t="s">
        <v>3</v>
      </c>
      <c r="D1" s="9"/>
      <c r="E1" s="18">
        <f ca="1">SUM(INDIRECT("D" &amp;D1:D31&amp; ":D"))</f>
        <v>32</v>
      </c>
      <c r="F1" s="18" t="e">
        <f>DATEDIF(E3,#REF!,"d")</f>
        <v>#REF!</v>
      </c>
      <c r="G1" s="18" t="e">
        <f>INT(DATEDIF(E3,#REF!,"d")-((DATEDIF(E3,#REF!,"d")/7)*5))</f>
        <v>#REF!</v>
      </c>
      <c r="I1" s="16"/>
      <c r="J1" s="15" t="s">
        <v>10</v>
      </c>
      <c r="K1" s="10" t="s">
        <v>11</v>
      </c>
      <c r="L1" s="10" t="s">
        <v>12</v>
      </c>
      <c r="M1" s="13" t="s">
        <v>9</v>
      </c>
      <c r="N1" s="13" t="s">
        <v>14</v>
      </c>
      <c r="O1" s="14"/>
      <c r="P1" s="20" t="s">
        <v>15</v>
      </c>
      <c r="Q1" s="20" t="s">
        <v>14</v>
      </c>
    </row>
    <row r="2" spans="1:17" x14ac:dyDescent="0.15">
      <c r="A2" s="3" t="s">
        <v>2</v>
      </c>
      <c r="B2" s="4" t="s">
        <v>0</v>
      </c>
      <c r="C2" s="4" t="s">
        <v>4</v>
      </c>
      <c r="D2" s="4" t="s">
        <v>1</v>
      </c>
      <c r="E2" s="4" t="s">
        <v>5</v>
      </c>
      <c r="F2" s="4" t="s">
        <v>6</v>
      </c>
      <c r="G2" s="4" t="s">
        <v>7</v>
      </c>
      <c r="H2" s="4" t="s">
        <v>8</v>
      </c>
      <c r="I2" s="12"/>
      <c r="J2" s="23" t="e">
        <f>M2-L2-K2</f>
        <v>#REF!</v>
      </c>
      <c r="K2" s="11">
        <v>6</v>
      </c>
      <c r="L2" s="11" t="e">
        <f>G1</f>
        <v>#REF!</v>
      </c>
      <c r="M2" s="19" t="e">
        <f>F1</f>
        <v>#REF!</v>
      </c>
      <c r="N2" s="21" t="s">
        <v>13</v>
      </c>
      <c r="P2" s="22">
        <v>8</v>
      </c>
      <c r="Q2" s="21" t="s">
        <v>16</v>
      </c>
    </row>
    <row r="3" spans="1:17" x14ac:dyDescent="0.15">
      <c r="A3" s="39" t="s">
        <v>54</v>
      </c>
      <c r="B3" s="8" t="s">
        <v>29</v>
      </c>
      <c r="C3" s="7">
        <v>1</v>
      </c>
      <c r="D3" s="2">
        <v>1</v>
      </c>
      <c r="E3" s="5">
        <v>43110</v>
      </c>
      <c r="F3" s="5">
        <v>43110</v>
      </c>
      <c r="G3" s="5">
        <v>43110</v>
      </c>
      <c r="H3" s="5">
        <v>43110</v>
      </c>
      <c r="I3" s="17"/>
    </row>
    <row r="4" spans="1:17" x14ac:dyDescent="0.15">
      <c r="A4" s="39" t="s">
        <v>55</v>
      </c>
      <c r="B4" s="8" t="s">
        <v>30</v>
      </c>
      <c r="C4" s="7">
        <v>1</v>
      </c>
      <c r="D4" s="2">
        <v>1</v>
      </c>
      <c r="E4" s="5">
        <v>43111</v>
      </c>
      <c r="F4" s="5">
        <v>43111</v>
      </c>
      <c r="G4" s="5">
        <v>43111</v>
      </c>
      <c r="H4" s="5">
        <v>43111</v>
      </c>
    </row>
    <row r="5" spans="1:17" x14ac:dyDescent="0.15">
      <c r="A5" s="39" t="s">
        <v>56</v>
      </c>
      <c r="B5" s="8" t="s">
        <v>32</v>
      </c>
      <c r="C5" s="32"/>
      <c r="D5" s="33"/>
      <c r="E5" s="5"/>
      <c r="F5" s="5"/>
      <c r="G5" s="6"/>
      <c r="H5" s="6"/>
    </row>
    <row r="6" spans="1:17" x14ac:dyDescent="0.15">
      <c r="A6" s="40" t="s">
        <v>57</v>
      </c>
      <c r="B6" s="29" t="s">
        <v>19</v>
      </c>
      <c r="C6" s="7">
        <v>1</v>
      </c>
      <c r="D6" s="2">
        <v>0.5</v>
      </c>
      <c r="E6" s="5">
        <v>43112</v>
      </c>
      <c r="F6" s="5">
        <v>43112</v>
      </c>
      <c r="G6" s="6">
        <v>43112</v>
      </c>
      <c r="H6" s="6">
        <v>43112</v>
      </c>
    </row>
    <row r="7" spans="1:17" x14ac:dyDescent="0.15">
      <c r="A7" s="40" t="s">
        <v>58</v>
      </c>
      <c r="B7" s="29" t="s">
        <v>20</v>
      </c>
      <c r="C7" s="7">
        <v>1</v>
      </c>
      <c r="D7" s="2">
        <v>0.5</v>
      </c>
      <c r="E7" s="5">
        <v>43112</v>
      </c>
      <c r="F7" s="5">
        <v>43112</v>
      </c>
      <c r="G7" s="6">
        <v>43112</v>
      </c>
      <c r="H7" s="6">
        <v>43112</v>
      </c>
    </row>
    <row r="8" spans="1:17" x14ac:dyDescent="0.15">
      <c r="A8" s="39" t="s">
        <v>59</v>
      </c>
      <c r="B8" s="8" t="s">
        <v>31</v>
      </c>
      <c r="C8" s="7"/>
      <c r="D8" s="2"/>
      <c r="E8" s="5"/>
      <c r="F8" s="5"/>
      <c r="G8" s="6"/>
      <c r="H8" s="6"/>
    </row>
    <row r="9" spans="1:17" x14ac:dyDescent="0.15">
      <c r="A9" s="38" t="s">
        <v>48</v>
      </c>
      <c r="B9" s="27" t="s">
        <v>66</v>
      </c>
      <c r="C9" s="7">
        <v>1</v>
      </c>
      <c r="D9" s="2">
        <v>0.5</v>
      </c>
      <c r="E9" s="5">
        <v>43115</v>
      </c>
      <c r="F9" s="5">
        <v>43115</v>
      </c>
      <c r="G9" s="6">
        <v>43115</v>
      </c>
      <c r="H9" s="6">
        <v>43115</v>
      </c>
    </row>
    <row r="10" spans="1:17" x14ac:dyDescent="0.15">
      <c r="A10" s="37" t="s">
        <v>49</v>
      </c>
      <c r="B10" s="29" t="s">
        <v>67</v>
      </c>
      <c r="C10" s="7">
        <v>1</v>
      </c>
      <c r="D10" s="2">
        <v>0.5</v>
      </c>
      <c r="E10" s="5">
        <v>43115</v>
      </c>
      <c r="F10" s="5">
        <v>43115</v>
      </c>
      <c r="G10" s="6">
        <v>43115</v>
      </c>
      <c r="H10" s="6">
        <v>43115</v>
      </c>
    </row>
    <row r="11" spans="1:17" x14ac:dyDescent="0.15">
      <c r="A11" s="38" t="s">
        <v>50</v>
      </c>
      <c r="B11" s="28" t="s">
        <v>17</v>
      </c>
      <c r="C11" s="7">
        <v>1</v>
      </c>
      <c r="D11" s="2">
        <v>0.5</v>
      </c>
      <c r="E11" s="5">
        <v>43116</v>
      </c>
      <c r="F11" s="5">
        <v>43116</v>
      </c>
      <c r="G11" s="6">
        <v>43116</v>
      </c>
      <c r="H11" s="6">
        <v>43116</v>
      </c>
    </row>
    <row r="12" spans="1:17" x14ac:dyDescent="0.15">
      <c r="A12" s="37" t="s">
        <v>51</v>
      </c>
      <c r="B12" s="28" t="s">
        <v>18</v>
      </c>
      <c r="C12" s="7">
        <v>1</v>
      </c>
      <c r="D12" s="2">
        <v>0.5</v>
      </c>
      <c r="E12" s="5">
        <v>43116</v>
      </c>
      <c r="F12" s="5">
        <v>43116</v>
      </c>
      <c r="G12" s="6">
        <v>43116</v>
      </c>
      <c r="H12" s="6">
        <v>43116</v>
      </c>
    </row>
    <row r="13" spans="1:17" x14ac:dyDescent="0.15">
      <c r="A13" s="38" t="s">
        <v>52</v>
      </c>
      <c r="B13" s="29" t="s">
        <v>69</v>
      </c>
      <c r="C13" s="7">
        <v>1</v>
      </c>
      <c r="D13" s="2">
        <v>0.5</v>
      </c>
      <c r="E13" s="5">
        <v>43117</v>
      </c>
      <c r="F13" s="5">
        <v>43117</v>
      </c>
      <c r="G13" s="6">
        <v>43117</v>
      </c>
      <c r="H13" s="6">
        <v>43117</v>
      </c>
    </row>
    <row r="14" spans="1:17" x14ac:dyDescent="0.15">
      <c r="A14" s="37" t="s">
        <v>53</v>
      </c>
      <c r="B14" s="29" t="s">
        <v>70</v>
      </c>
      <c r="C14" s="7">
        <v>1</v>
      </c>
      <c r="D14" s="2">
        <v>0.5</v>
      </c>
      <c r="E14" s="5">
        <v>43117</v>
      </c>
      <c r="F14" s="5">
        <v>43117</v>
      </c>
      <c r="G14" s="6">
        <v>43117</v>
      </c>
      <c r="H14" s="6">
        <v>43117</v>
      </c>
    </row>
    <row r="15" spans="1:17" x14ac:dyDescent="0.15">
      <c r="A15" s="39" t="s">
        <v>60</v>
      </c>
      <c r="B15" s="8" t="s">
        <v>26</v>
      </c>
      <c r="C15" s="7"/>
      <c r="D15" s="2"/>
      <c r="E15" s="5"/>
      <c r="F15" s="5"/>
      <c r="G15" s="6"/>
      <c r="H15" s="6"/>
    </row>
    <row r="16" spans="1:17" x14ac:dyDescent="0.15">
      <c r="A16" s="36" t="s">
        <v>37</v>
      </c>
      <c r="B16" s="30" t="s">
        <v>21</v>
      </c>
      <c r="C16" s="7">
        <v>1</v>
      </c>
      <c r="D16" s="2">
        <v>0.5</v>
      </c>
      <c r="E16" s="5">
        <v>43118</v>
      </c>
      <c r="F16" s="5">
        <v>43118</v>
      </c>
      <c r="G16" s="6">
        <v>43118</v>
      </c>
      <c r="H16" s="6">
        <v>43118</v>
      </c>
    </row>
    <row r="17" spans="1:18" x14ac:dyDescent="0.15">
      <c r="A17" s="37" t="s">
        <v>38</v>
      </c>
      <c r="B17" s="30" t="s">
        <v>36</v>
      </c>
      <c r="C17" s="7">
        <v>1</v>
      </c>
      <c r="D17" s="2">
        <v>0.5</v>
      </c>
      <c r="E17" s="5">
        <v>43118</v>
      </c>
      <c r="F17" s="5">
        <v>43118</v>
      </c>
      <c r="G17" s="6">
        <v>43118</v>
      </c>
      <c r="H17" s="6">
        <v>43118</v>
      </c>
    </row>
    <row r="18" spans="1:18" x14ac:dyDescent="0.15">
      <c r="A18" s="36" t="s">
        <v>39</v>
      </c>
      <c r="B18" s="29" t="s">
        <v>68</v>
      </c>
      <c r="C18" s="7">
        <v>1</v>
      </c>
      <c r="D18" s="2">
        <v>0.5</v>
      </c>
      <c r="E18" s="5">
        <v>43119</v>
      </c>
      <c r="F18" s="5">
        <v>43119</v>
      </c>
      <c r="G18" s="6">
        <v>43119</v>
      </c>
      <c r="H18" s="6">
        <v>43119</v>
      </c>
    </row>
    <row r="19" spans="1:18" x14ac:dyDescent="0.15">
      <c r="A19" s="37" t="s">
        <v>40</v>
      </c>
      <c r="B19" s="29" t="s">
        <v>71</v>
      </c>
      <c r="C19" s="7">
        <v>1</v>
      </c>
      <c r="D19" s="2">
        <v>0.5</v>
      </c>
      <c r="E19" s="5">
        <v>43119</v>
      </c>
      <c r="F19" s="5">
        <v>43119</v>
      </c>
      <c r="G19" s="6">
        <v>43119</v>
      </c>
      <c r="H19" s="6">
        <v>43119</v>
      </c>
    </row>
    <row r="20" spans="1:18" x14ac:dyDescent="0.15">
      <c r="A20" s="36" t="s">
        <v>41</v>
      </c>
      <c r="B20" s="29" t="s">
        <v>72</v>
      </c>
      <c r="C20" s="7">
        <v>1</v>
      </c>
      <c r="D20" s="2">
        <v>0.5</v>
      </c>
      <c r="E20" s="5">
        <v>43122</v>
      </c>
      <c r="F20" s="5">
        <v>43122</v>
      </c>
      <c r="G20" s="6">
        <v>43122</v>
      </c>
      <c r="H20" s="6">
        <v>43122</v>
      </c>
    </row>
    <row r="21" spans="1:18" x14ac:dyDescent="0.15">
      <c r="A21" s="37" t="s">
        <v>42</v>
      </c>
      <c r="B21" s="29" t="s">
        <v>73</v>
      </c>
      <c r="C21" s="7">
        <v>1</v>
      </c>
      <c r="D21" s="2">
        <v>0.5</v>
      </c>
      <c r="E21" s="5">
        <v>43122</v>
      </c>
      <c r="F21" s="5">
        <v>43122</v>
      </c>
      <c r="G21" s="6">
        <v>43122</v>
      </c>
      <c r="H21" s="6">
        <v>43122</v>
      </c>
    </row>
    <row r="22" spans="1:18" x14ac:dyDescent="0.15">
      <c r="A22" s="36" t="s">
        <v>43</v>
      </c>
      <c r="B22" s="29" t="s">
        <v>22</v>
      </c>
      <c r="C22" s="7">
        <v>1</v>
      </c>
      <c r="D22" s="2">
        <v>0.5</v>
      </c>
      <c r="E22" s="5">
        <v>43123</v>
      </c>
      <c r="F22" s="5">
        <v>43123</v>
      </c>
      <c r="G22" s="6">
        <v>43123</v>
      </c>
      <c r="H22" s="6">
        <v>43123</v>
      </c>
    </row>
    <row r="23" spans="1:18" x14ac:dyDescent="0.15">
      <c r="A23" s="37" t="s">
        <v>44</v>
      </c>
      <c r="B23" s="29" t="s">
        <v>23</v>
      </c>
      <c r="C23" s="7">
        <v>1</v>
      </c>
      <c r="D23" s="2">
        <v>0.5</v>
      </c>
      <c r="E23" s="5">
        <v>43123</v>
      </c>
      <c r="F23" s="5">
        <v>43123</v>
      </c>
      <c r="G23" s="6">
        <v>43124</v>
      </c>
      <c r="H23" s="6">
        <v>43124</v>
      </c>
    </row>
    <row r="24" spans="1:18" x14ac:dyDescent="0.15">
      <c r="A24" s="36" t="s">
        <v>45</v>
      </c>
      <c r="B24" s="29" t="s">
        <v>24</v>
      </c>
      <c r="C24" s="7">
        <v>1</v>
      </c>
      <c r="D24" s="2">
        <v>0.5</v>
      </c>
      <c r="E24" s="5">
        <v>43124</v>
      </c>
      <c r="F24" s="5">
        <v>43124</v>
      </c>
      <c r="G24" s="6">
        <v>43124</v>
      </c>
      <c r="H24" s="6">
        <v>43124</v>
      </c>
    </row>
    <row r="25" spans="1:18" x14ac:dyDescent="0.15">
      <c r="A25" s="37" t="s">
        <v>46</v>
      </c>
      <c r="B25" s="31" t="s">
        <v>74</v>
      </c>
      <c r="C25" s="7">
        <v>1</v>
      </c>
      <c r="D25" s="2">
        <v>0.5</v>
      </c>
      <c r="E25" s="5">
        <v>43124</v>
      </c>
      <c r="F25" s="5">
        <v>43124</v>
      </c>
      <c r="G25" s="6">
        <v>43125</v>
      </c>
      <c r="H25" s="6">
        <v>43125</v>
      </c>
    </row>
    <row r="26" spans="1:18" x14ac:dyDescent="0.15">
      <c r="A26" s="36" t="s">
        <v>47</v>
      </c>
      <c r="B26" s="31" t="s">
        <v>25</v>
      </c>
      <c r="C26" s="7">
        <v>1</v>
      </c>
      <c r="D26" s="2">
        <v>0.5</v>
      </c>
      <c r="E26" s="5">
        <v>43125</v>
      </c>
      <c r="F26" s="5">
        <v>43125</v>
      </c>
      <c r="G26" s="6">
        <v>43125</v>
      </c>
      <c r="H26" s="6">
        <v>43125</v>
      </c>
    </row>
    <row r="27" spans="1:18" s="12" customFormat="1" x14ac:dyDescent="0.15">
      <c r="A27" s="41" t="s">
        <v>61</v>
      </c>
      <c r="B27" s="34" t="s">
        <v>27</v>
      </c>
      <c r="C27" s="7">
        <v>1</v>
      </c>
      <c r="D27" s="25">
        <v>1</v>
      </c>
      <c r="E27" s="5">
        <v>43125</v>
      </c>
      <c r="F27" s="5">
        <v>43126</v>
      </c>
      <c r="G27" s="6">
        <v>43126</v>
      </c>
      <c r="H27" s="6">
        <v>43126</v>
      </c>
      <c r="I27" s="1"/>
      <c r="J27" s="1"/>
      <c r="K27" s="1"/>
      <c r="L27" s="1"/>
      <c r="M27" s="1"/>
      <c r="N27" s="1"/>
      <c r="O27" s="1"/>
      <c r="P27" s="1"/>
      <c r="Q27" s="1"/>
      <c r="R27" s="1"/>
    </row>
    <row r="28" spans="1:18" s="12" customFormat="1" x14ac:dyDescent="0.15">
      <c r="A28" s="41" t="s">
        <v>62</v>
      </c>
      <c r="B28" s="34" t="s">
        <v>28</v>
      </c>
      <c r="C28" s="24">
        <v>1</v>
      </c>
      <c r="D28" s="25">
        <v>2</v>
      </c>
      <c r="E28" s="5">
        <v>43126</v>
      </c>
      <c r="F28" s="5">
        <v>43130</v>
      </c>
      <c r="G28" s="6">
        <v>43129</v>
      </c>
      <c r="H28" s="6">
        <v>43130</v>
      </c>
      <c r="I28" s="1"/>
      <c r="J28" s="1"/>
      <c r="K28" s="1"/>
      <c r="L28" s="1"/>
      <c r="M28" s="1"/>
      <c r="N28" s="1"/>
      <c r="O28" s="1"/>
      <c r="P28" s="1"/>
      <c r="Q28" s="1"/>
      <c r="R28" s="1"/>
    </row>
    <row r="29" spans="1:18" s="12" customFormat="1" x14ac:dyDescent="0.15">
      <c r="A29" s="41" t="s">
        <v>63</v>
      </c>
      <c r="B29" s="34" t="s">
        <v>35</v>
      </c>
      <c r="C29" s="24"/>
      <c r="D29" s="25"/>
      <c r="E29" s="5"/>
      <c r="F29" s="5"/>
      <c r="G29" s="6"/>
      <c r="H29" s="6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 spans="1:18" s="12" customFormat="1" x14ac:dyDescent="0.15">
      <c r="A30" s="36" t="s">
        <v>64</v>
      </c>
      <c r="B30" s="35" t="s">
        <v>33</v>
      </c>
      <c r="C30" s="24">
        <v>0.2</v>
      </c>
      <c r="D30" s="25">
        <v>1</v>
      </c>
      <c r="E30" s="5">
        <v>43130</v>
      </c>
      <c r="F30" s="5">
        <v>43131</v>
      </c>
      <c r="G30" s="6"/>
      <c r="H30" s="6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 spans="1:18" x14ac:dyDescent="0.15">
      <c r="A31" s="40" t="s">
        <v>65</v>
      </c>
      <c r="B31" s="26" t="s">
        <v>34</v>
      </c>
      <c r="C31" s="7">
        <v>0</v>
      </c>
      <c r="D31" s="2">
        <v>0.5</v>
      </c>
      <c r="E31" s="5">
        <v>43131</v>
      </c>
      <c r="F31" s="5">
        <v>43131</v>
      </c>
      <c r="G31" s="6"/>
      <c r="H31" s="6"/>
    </row>
    <row r="32" spans="1:18" x14ac:dyDescent="0.15">
      <c r="D32" s="1">
        <f>SUM(D3:D31)</f>
        <v>16</v>
      </c>
    </row>
  </sheetData>
  <phoneticPr fontId="5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2018-01-30T10:32:47Z</dcterms:modified>
</cp:coreProperties>
</file>